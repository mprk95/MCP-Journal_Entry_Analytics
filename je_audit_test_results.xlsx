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Flag Matrix" sheetId="2" state="visible" r:id="rId4"/>
  </sheets>
  <definedNames>
    <definedName function="false" hidden="true" localSheetId="1" name="_xlnm._FilterDatabase" vbProcedure="false">'Flag Matrix'!$A$1:$M$8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<sst xmlns="http://schemas.openxmlformats.org/spreadsheetml/2006/main" count="57" uniqueCount="53">
  <si>
    <t xml:space="preserve">Journal Entry Audit Analytics - Test Summary</t>
  </si>
  <si>
    <t xml:space="preserve">Source: je-audit-analytics MCP server (run_all_je_tests), run on 2026-10-21. Entries posted January 2026.</t>
  </si>
  <si>
    <t xml:space="preserve">Test</t>
  </si>
  <si>
    <t xml:space="preserve">Rule</t>
  </si>
  <si>
    <t xml:space="preserve">Exceptions</t>
  </si>
  <si>
    <t xml:space="preserve">Weekend</t>
  </si>
  <si>
    <t xml:space="preserve">Posted on Saturday or Sunday</t>
  </si>
  <si>
    <t xml:space="preserve">Round amount</t>
  </si>
  <si>
    <t xml:space="preserve">Amount divisible by 10,000</t>
  </si>
  <si>
    <t xml:space="preserve">Duplicate</t>
  </si>
  <si>
    <t xml:space="preserve">Potential duplicate entries</t>
  </si>
  <si>
    <t xml:space="preserve">High value</t>
  </si>
  <si>
    <t xml:space="preserve">Absolute amount above 500,000</t>
  </si>
  <si>
    <t xml:space="preserve">Key metrics</t>
  </si>
  <si>
    <t xml:space="preserve">Metric</t>
  </si>
  <si>
    <t xml:space="preserve">Value</t>
  </si>
  <si>
    <t xml:space="preserve">Unique entries flagged</t>
  </si>
  <si>
    <t xml:space="preserve">Entries flagged by 3 tests</t>
  </si>
  <si>
    <t xml:space="preserve">Entries flagged by 2+ tests</t>
  </si>
  <si>
    <t xml:space="preserve">Total amount of flagged entries</t>
  </si>
  <si>
    <t xml:space="preserve">Amount in entries flagged by 3 tests</t>
  </si>
  <si>
    <t xml:space="preserve">Note: These tests flag entries for review only and do not indicate wrongdoing. Round amounts and weekend postings can be legitimate (fixed contracts, retainers, close activity). Confirm preparer, approver and supporting documents before drawing conclusions.</t>
  </si>
  <si>
    <t xml:space="preserve">JE ID</t>
  </si>
  <si>
    <t xml:space="preserve">Posting Date</t>
  </si>
  <si>
    <t xml:space="preserve">Day</t>
  </si>
  <si>
    <t xml:space="preserve">Amount</t>
  </si>
  <si>
    <t xml:space="preserve">Account</t>
  </si>
  <si>
    <t xml:space="preserve">Description</t>
  </si>
  <si>
    <t xml:space="preserve">Round Amount</t>
  </si>
  <si>
    <t xml:space="preserve">High Value (&gt;500,000)</t>
  </si>
  <si>
    <t xml:space="preserve">Tests Hit</t>
  </si>
  <si>
    <t xml:space="preserve">Priority</t>
  </si>
  <si>
    <t xml:space="preserve">Recommended Follow-up</t>
  </si>
  <si>
    <t xml:space="preserve">JE003</t>
  </si>
  <si>
    <t xml:space="preserve">Consulting</t>
  </si>
  <si>
    <t xml:space="preserve">Confirm preparer/approver; review invoice, contract and approvals for weekend posting.</t>
  </si>
  <si>
    <t xml:space="preserve">JE007</t>
  </si>
  <si>
    <t xml:space="preserve">Equipment</t>
  </si>
  <si>
    <t xml:space="preserve">Confirm preparer/approver; verify receipt of equipment and correct capitalization.</t>
  </si>
  <si>
    <t xml:space="preserve">JE005</t>
  </si>
  <si>
    <t xml:space="preserve">Travel</t>
  </si>
  <si>
    <t xml:space="preserve">Likely duplicate of JE006 (same day, amount, account, description); confirm one payment vs two.</t>
  </si>
  <si>
    <t xml:space="preserve">JE006</t>
  </si>
  <si>
    <t xml:space="preserve">Likely duplicate of JE005; confirm one payment vs two.</t>
  </si>
  <si>
    <t xml:space="preserve">JE009</t>
  </si>
  <si>
    <t xml:space="preserve">Software</t>
  </si>
  <si>
    <t xml:space="preserve">Verify contract or license agreement supporting the amount.</t>
  </si>
  <si>
    <t xml:space="preserve">JE002</t>
  </si>
  <si>
    <t xml:space="preserve">Weekend posting; check for a pattern of split 10,000 travel entries (JE002/JE005/JE006).</t>
  </si>
  <si>
    <t xml:space="preserve">JE008</t>
  </si>
  <si>
    <t xml:space="preserve">Marketing</t>
  </si>
  <si>
    <t xml:space="preserve">Quick review of supporting documents; lowest priority.</t>
  </si>
  <si>
    <t xml:space="preserve">Total flagged amount</t>
  </si>
</sst>
</file>

<file path=xl/styles.xml><?xml version="1.0" encoding="utf-8"?>
<styleSheet xmlns="http://schemas.openxmlformats.org/spreadsheetml/2006/main">
  <numFmts count="5">
    <numFmt numFmtId="164" formatCode="General"/>
    <numFmt numFmtId="165" formatCode="General"/>
    <numFmt numFmtId="166" formatCode="0"/>
    <numFmt numFmtId="167" formatCode="#,##0"/>
    <numFmt numFmtId="168" formatCode="yyyy\-mm\-dd"/>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8CBAD"/>
        <bgColor rgb="FFFFE699"/>
      </patternFill>
    </fill>
    <fill>
      <patternFill patternType="solid">
        <fgColor rgb="FFFFE699"/>
        <bgColor rgb="FFF8CBAD"/>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34"/>
    <col collapsed="false" customWidth="true" hidden="false" outlineLevel="0" max="3" min="3"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4" t="s">
        <v>6</v>
      </c>
      <c r="C5" s="5" t="n">
        <f aca="false">'Flag Matrix'!G9</f>
        <v>3</v>
      </c>
    </row>
    <row r="6" customFormat="false" ht="15" hidden="false" customHeight="false" outlineLevel="0" collapsed="false">
      <c r="A6" s="4" t="s">
        <v>7</v>
      </c>
      <c r="B6" s="4" t="s">
        <v>8</v>
      </c>
      <c r="C6" s="5" t="n">
        <f aca="false">'Flag Matrix'!H9</f>
        <v>7</v>
      </c>
    </row>
    <row r="7" customFormat="false" ht="15" hidden="false" customHeight="false" outlineLevel="0" collapsed="false">
      <c r="A7" s="4" t="s">
        <v>9</v>
      </c>
      <c r="B7" s="4" t="s">
        <v>10</v>
      </c>
      <c r="C7" s="5" t="n">
        <f aca="false">'Flag Matrix'!I9</f>
        <v>2</v>
      </c>
    </row>
    <row r="8" customFormat="false" ht="15" hidden="false" customHeight="false" outlineLevel="0" collapsed="false">
      <c r="A8" s="4" t="s">
        <v>11</v>
      </c>
      <c r="B8" s="4" t="s">
        <v>12</v>
      </c>
      <c r="C8" s="5" t="n">
        <f aca="false">'Flag Matrix'!J9</f>
        <v>3</v>
      </c>
    </row>
    <row r="10" customFormat="false" ht="15" hidden="false" customHeight="false" outlineLevel="0" collapsed="false">
      <c r="A10" s="6" t="s">
        <v>13</v>
      </c>
    </row>
    <row r="11" customFormat="false" ht="15" hidden="false" customHeight="false" outlineLevel="0" collapsed="false">
      <c r="A11" s="3" t="s">
        <v>14</v>
      </c>
      <c r="B11" s="3"/>
      <c r="C11" s="3" t="s">
        <v>15</v>
      </c>
    </row>
    <row r="12" customFormat="false" ht="15" hidden="false" customHeight="false" outlineLevel="0" collapsed="false">
      <c r="A12" s="4" t="s">
        <v>16</v>
      </c>
      <c r="B12" s="4"/>
      <c r="C12" s="7" t="n">
        <f aca="false">COUNTA('Flag Matrix'!A2:A8)</f>
        <v>7</v>
      </c>
    </row>
    <row r="13" customFormat="false" ht="15" hidden="false" customHeight="false" outlineLevel="0" collapsed="false">
      <c r="A13" s="4" t="s">
        <v>17</v>
      </c>
      <c r="B13" s="4"/>
      <c r="C13" s="7" t="n">
        <f aca="false">COUNTIF('Flag Matrix'!K2:K8,3)</f>
        <v>2</v>
      </c>
    </row>
    <row r="14" customFormat="false" ht="15" hidden="false" customHeight="false" outlineLevel="0" collapsed="false">
      <c r="A14" s="4" t="s">
        <v>18</v>
      </c>
      <c r="B14" s="4"/>
      <c r="C14" s="7" t="n">
        <f aca="false">COUNTIF('Flag Matrix'!K2:K8,"&gt;=2")</f>
        <v>6</v>
      </c>
    </row>
    <row r="15" customFormat="false" ht="15" hidden="false" customHeight="false" outlineLevel="0" collapsed="false">
      <c r="A15" s="4" t="s">
        <v>19</v>
      </c>
      <c r="B15" s="4"/>
      <c r="C15" s="8" t="n">
        <f aca="false">'Flag Matrix'!D9</f>
        <v>2350000</v>
      </c>
    </row>
    <row r="16" customFormat="false" ht="15" hidden="false" customHeight="false" outlineLevel="0" collapsed="false">
      <c r="A16" s="4" t="s">
        <v>20</v>
      </c>
      <c r="B16" s="4"/>
      <c r="C16" s="8" t="n">
        <f aca="false">SUMIF('Flag Matrix'!K2:K8,3,'Flag Matrix'!D2:D8)</f>
        <v>1650000</v>
      </c>
    </row>
    <row r="18" customFormat="false" ht="15" hidden="false" customHeight="true" outlineLevel="0" collapsed="false">
      <c r="A18" s="9" t="s">
        <v>21</v>
      </c>
      <c r="B18" s="9"/>
      <c r="C18" s="9"/>
    </row>
    <row r="19" customFormat="false" ht="15" hidden="false" customHeight="false" outlineLevel="0" collapsed="false">
      <c r="A19" s="9"/>
      <c r="B19" s="9"/>
      <c r="C19" s="9"/>
    </row>
    <row r="20" customFormat="false" ht="15" hidden="false" customHeight="false" outlineLevel="0" collapsed="false">
      <c r="A20" s="9"/>
      <c r="B20" s="9"/>
      <c r="C20" s="9"/>
    </row>
  </sheetData>
  <mergeCells count="1">
    <mergeCell ref="A18: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4" min="3" style="0" width="12"/>
    <col collapsed="false" customWidth="true" hidden="false" outlineLevel="0" max="5" min="5" style="0" width="10"/>
    <col collapsed="false" customWidth="true" hidden="false" outlineLevel="0" max="6" min="6" style="0" width="14"/>
    <col collapsed="false" customWidth="true" hidden="false" outlineLevel="0" max="7" min="7" style="0" width="10"/>
    <col collapsed="false" customWidth="true" hidden="false" outlineLevel="0" max="8" min="8" style="0" width="12"/>
    <col collapsed="false" customWidth="true" hidden="false" outlineLevel="0" max="9" min="9" style="0" width="11"/>
    <col collapsed="false" customWidth="true" hidden="false" outlineLevel="0" max="10" min="10" style="0" width="16"/>
    <col collapsed="false" customWidth="true" hidden="false" outlineLevel="0" max="11" min="11" style="0" width="10"/>
    <col collapsed="false" customWidth="true" hidden="false" outlineLevel="0" max="12" min="12" style="0" width="9"/>
    <col collapsed="false" customWidth="true" hidden="false" outlineLevel="0" max="13" min="13" style="0" width="70"/>
  </cols>
  <sheetData>
    <row r="1" customFormat="false" ht="31.5" hidden="false" customHeight="true" outlineLevel="0" collapsed="false">
      <c r="A1" s="3" t="s">
        <v>22</v>
      </c>
      <c r="B1" s="3" t="s">
        <v>23</v>
      </c>
      <c r="C1" s="3" t="s">
        <v>24</v>
      </c>
      <c r="D1" s="3" t="s">
        <v>25</v>
      </c>
      <c r="E1" s="3" t="s">
        <v>26</v>
      </c>
      <c r="F1" s="3" t="s">
        <v>27</v>
      </c>
      <c r="G1" s="3" t="s">
        <v>5</v>
      </c>
      <c r="H1" s="3" t="s">
        <v>28</v>
      </c>
      <c r="I1" s="3" t="s">
        <v>9</v>
      </c>
      <c r="J1" s="3" t="s">
        <v>29</v>
      </c>
      <c r="K1" s="3" t="s">
        <v>30</v>
      </c>
      <c r="L1" s="3" t="s">
        <v>31</v>
      </c>
      <c r="M1" s="3" t="s">
        <v>32</v>
      </c>
    </row>
    <row r="2" customFormat="false" ht="23.85" hidden="false" customHeight="false" outlineLevel="0" collapsed="false">
      <c r="A2" s="10" t="s">
        <v>33</v>
      </c>
      <c r="B2" s="11" t="n">
        <v>46033</v>
      </c>
      <c r="C2" s="10" t="str">
        <f aca="false">TEXT(B2,"dddd")</f>
        <v>Sunday</v>
      </c>
      <c r="D2" s="12" t="n">
        <v>750000</v>
      </c>
      <c r="E2" s="10" t="n">
        <v>5003</v>
      </c>
      <c r="F2" s="10" t="s">
        <v>34</v>
      </c>
      <c r="G2" s="13" t="n">
        <v>1</v>
      </c>
      <c r="H2" s="13" t="n">
        <v>1</v>
      </c>
      <c r="I2" s="13" t="n">
        <v>0</v>
      </c>
      <c r="J2" s="13" t="n">
        <v>1</v>
      </c>
      <c r="K2" s="13" t="n">
        <f aca="false">SUM(G2:J2)</f>
        <v>3</v>
      </c>
      <c r="L2" s="14" t="n">
        <v>1</v>
      </c>
      <c r="M2" s="15" t="s">
        <v>35</v>
      </c>
    </row>
    <row r="3" customFormat="false" ht="15" hidden="false" customHeight="false" outlineLevel="0" collapsed="false">
      <c r="A3" s="10" t="s">
        <v>36</v>
      </c>
      <c r="B3" s="11" t="n">
        <v>46039</v>
      </c>
      <c r="C3" s="10" t="str">
        <f aca="false">TEXT(B3,"dddd")</f>
        <v>Saturday</v>
      </c>
      <c r="D3" s="12" t="n">
        <v>900000</v>
      </c>
      <c r="E3" s="10" t="n">
        <v>5005</v>
      </c>
      <c r="F3" s="10" t="s">
        <v>37</v>
      </c>
      <c r="G3" s="13" t="n">
        <v>1</v>
      </c>
      <c r="H3" s="13" t="n">
        <v>1</v>
      </c>
      <c r="I3" s="13" t="n">
        <v>0</v>
      </c>
      <c r="J3" s="13" t="n">
        <v>1</v>
      </c>
      <c r="K3" s="13" t="n">
        <f aca="false">SUM(G3:J3)</f>
        <v>3</v>
      </c>
      <c r="L3" s="14" t="n">
        <v>1</v>
      </c>
      <c r="M3" s="15" t="s">
        <v>38</v>
      </c>
    </row>
    <row r="4" customFormat="false" ht="23.85" hidden="false" customHeight="false" outlineLevel="0" collapsed="false">
      <c r="A4" s="10" t="s">
        <v>39</v>
      </c>
      <c r="B4" s="11" t="n">
        <v>46035</v>
      </c>
      <c r="C4" s="10" t="str">
        <f aca="false">TEXT(B4,"dddd")</f>
        <v>Tuesday</v>
      </c>
      <c r="D4" s="12" t="n">
        <v>10000</v>
      </c>
      <c r="E4" s="10" t="n">
        <v>5002</v>
      </c>
      <c r="F4" s="10" t="s">
        <v>40</v>
      </c>
      <c r="G4" s="13" t="n">
        <v>0</v>
      </c>
      <c r="H4" s="13" t="n">
        <v>1</v>
      </c>
      <c r="I4" s="13" t="n">
        <v>1</v>
      </c>
      <c r="J4" s="13" t="n">
        <v>0</v>
      </c>
      <c r="K4" s="13" t="n">
        <f aca="false">SUM(G4:J4)</f>
        <v>2</v>
      </c>
      <c r="L4" s="14" t="n">
        <v>2</v>
      </c>
      <c r="M4" s="15" t="s">
        <v>41</v>
      </c>
    </row>
    <row r="5" customFormat="false" ht="15" hidden="false" customHeight="false" outlineLevel="0" collapsed="false">
      <c r="A5" s="10" t="s">
        <v>42</v>
      </c>
      <c r="B5" s="11" t="n">
        <v>46035</v>
      </c>
      <c r="C5" s="10" t="str">
        <f aca="false">TEXT(B5,"dddd")</f>
        <v>Tuesday</v>
      </c>
      <c r="D5" s="12" t="n">
        <v>10000</v>
      </c>
      <c r="E5" s="10" t="n">
        <v>5002</v>
      </c>
      <c r="F5" s="10" t="s">
        <v>40</v>
      </c>
      <c r="G5" s="13" t="n">
        <v>0</v>
      </c>
      <c r="H5" s="13" t="n">
        <v>1</v>
      </c>
      <c r="I5" s="13" t="n">
        <v>1</v>
      </c>
      <c r="J5" s="13" t="n">
        <v>0</v>
      </c>
      <c r="K5" s="13" t="n">
        <f aca="false">SUM(G5:J5)</f>
        <v>2</v>
      </c>
      <c r="L5" s="14" t="n">
        <v>2</v>
      </c>
      <c r="M5" s="15" t="s">
        <v>43</v>
      </c>
    </row>
    <row r="6" customFormat="false" ht="15" hidden="false" customHeight="false" outlineLevel="0" collapsed="false">
      <c r="A6" s="10" t="s">
        <v>44</v>
      </c>
      <c r="B6" s="11" t="n">
        <v>46042</v>
      </c>
      <c r="C6" s="10" t="str">
        <f aca="false">TEXT(B6,"dddd")</f>
        <v>Tuesday</v>
      </c>
      <c r="D6" s="12" t="n">
        <v>550000</v>
      </c>
      <c r="E6" s="10" t="n">
        <v>5007</v>
      </c>
      <c r="F6" s="10" t="s">
        <v>45</v>
      </c>
      <c r="G6" s="13" t="n">
        <v>0</v>
      </c>
      <c r="H6" s="13" t="n">
        <v>1</v>
      </c>
      <c r="I6" s="13" t="n">
        <v>0</v>
      </c>
      <c r="J6" s="13" t="n">
        <v>1</v>
      </c>
      <c r="K6" s="13" t="n">
        <f aca="false">SUM(G6:J6)</f>
        <v>2</v>
      </c>
      <c r="L6" s="16" t="n">
        <v>3</v>
      </c>
      <c r="M6" s="15" t="s">
        <v>46</v>
      </c>
    </row>
    <row r="7" customFormat="false" ht="23.85" hidden="false" customHeight="false" outlineLevel="0" collapsed="false">
      <c r="A7" s="10" t="s">
        <v>47</v>
      </c>
      <c r="B7" s="11" t="n">
        <v>46032</v>
      </c>
      <c r="C7" s="10" t="str">
        <f aca="false">TEXT(B7,"dddd")</f>
        <v>Saturday</v>
      </c>
      <c r="D7" s="12" t="n">
        <v>10000</v>
      </c>
      <c r="E7" s="10" t="n">
        <v>5002</v>
      </c>
      <c r="F7" s="10" t="s">
        <v>40</v>
      </c>
      <c r="G7" s="13" t="n">
        <v>1</v>
      </c>
      <c r="H7" s="13" t="n">
        <v>1</v>
      </c>
      <c r="I7" s="13" t="n">
        <v>0</v>
      </c>
      <c r="J7" s="13" t="n">
        <v>0</v>
      </c>
      <c r="K7" s="13" t="n">
        <f aca="false">SUM(G7:J7)</f>
        <v>2</v>
      </c>
      <c r="L7" s="16" t="n">
        <v>4</v>
      </c>
      <c r="M7" s="15" t="s">
        <v>48</v>
      </c>
    </row>
    <row r="8" customFormat="false" ht="15" hidden="false" customHeight="false" outlineLevel="0" collapsed="false">
      <c r="A8" s="10" t="s">
        <v>49</v>
      </c>
      <c r="B8" s="11" t="n">
        <v>46041</v>
      </c>
      <c r="C8" s="10" t="str">
        <f aca="false">TEXT(B8,"dddd")</f>
        <v>Monday</v>
      </c>
      <c r="D8" s="12" t="n">
        <v>120000</v>
      </c>
      <c r="E8" s="10" t="n">
        <v>5006</v>
      </c>
      <c r="F8" s="10" t="s">
        <v>50</v>
      </c>
      <c r="G8" s="13" t="n">
        <v>0</v>
      </c>
      <c r="H8" s="13" t="n">
        <v>1</v>
      </c>
      <c r="I8" s="13" t="n">
        <v>0</v>
      </c>
      <c r="J8" s="13" t="n">
        <v>0</v>
      </c>
      <c r="K8" s="13" t="n">
        <f aca="false">SUM(G8:J8)</f>
        <v>1</v>
      </c>
      <c r="L8" s="17" t="n">
        <v>5</v>
      </c>
      <c r="M8" s="15" t="s">
        <v>51</v>
      </c>
    </row>
    <row r="9" customFormat="false" ht="15" hidden="false" customHeight="false" outlineLevel="0" collapsed="false">
      <c r="A9" s="18" t="s">
        <v>52</v>
      </c>
      <c r="B9" s="18"/>
      <c r="C9" s="18"/>
      <c r="D9" s="19" t="n">
        <f aca="false">SUM(D2:D8)</f>
        <v>2350000</v>
      </c>
      <c r="E9" s="18"/>
      <c r="F9" s="18"/>
      <c r="G9" s="20" t="n">
        <f aca="false">SUM(G2:G8)</f>
        <v>3</v>
      </c>
      <c r="H9" s="20" t="n">
        <f aca="false">SUM(H2:H8)</f>
        <v>7</v>
      </c>
      <c r="I9" s="20" t="n">
        <f aca="false">SUM(I2:I8)</f>
        <v>2</v>
      </c>
      <c r="J9" s="20" t="n">
        <f aca="false">SUM(J2:J8)</f>
        <v>3</v>
      </c>
      <c r="K9" s="18"/>
      <c r="L9" s="18"/>
      <c r="M9" s="18"/>
    </row>
  </sheetData>
  <autoFilter ref="A1:M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2026-10-20T19:47:04Z</dcterms:created>
  <dc:creator>openpyxl</dc:creator>
  <dc:description/>
  <dc:language>en-US</dc:language>
  <cp:lastModifiedBy/>
  <dcterms:modified xsi:type="dcterms:W3CDTF">2026-10-20T19:47:04Z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